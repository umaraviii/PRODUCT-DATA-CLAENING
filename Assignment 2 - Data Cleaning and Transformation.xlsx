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5096AEA6-353E-46AB-9703-F7B2E5715F7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taset" sheetId="2" r:id="rId1"/>
  </sheets>
  <definedNames>
    <definedName name="_xlnm._FilterDatabase" localSheetId="0" hidden="1">Dataset!$A$1:$J$32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2" i="2"/>
</calcChain>
</file>

<file path=xl/sharedStrings.xml><?xml version="1.0" encoding="utf-8"?>
<sst xmlns="http://schemas.openxmlformats.org/spreadsheetml/2006/main" count="135" uniqueCount="100">
  <si>
    <t>Product ID</t>
  </si>
  <si>
    <t>Product Name</t>
  </si>
  <si>
    <t>Brand Name</t>
  </si>
  <si>
    <t>Price ($)</t>
  </si>
  <si>
    <t>Quantity</t>
  </si>
  <si>
    <t>Category</t>
  </si>
  <si>
    <t>28-JAN-US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</si>
  <si>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</si>
  <si>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</si>
  <si>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</si>
  <si>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</si>
  <si>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</si>
  <si>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</si>
  <si>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</si>
  <si>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</si>
  <si>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</si>
  <si>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</si>
  <si>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</si>
  <si>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</si>
  <si>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</si>
  <si>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</si>
  <si>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</si>
  <si>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</si>
  <si>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</si>
  <si>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</si>
  <si>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</si>
  <si>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</si>
  <si>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</si>
  <si>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</si>
  <si>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</si>
  <si>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</si>
  <si>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</si>
  <si>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</si>
  <si>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</si>
  <si>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</si>
  <si>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</si>
  <si>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</si>
  <si>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</si>
  <si>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</si>
  <si>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</si>
  <si>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</si>
  <si>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</si>
  <si>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</si>
  <si>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</si>
  <si>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</si>
  <si>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</si>
  <si>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</si>
  <si>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</si>
  <si>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</si>
  <si>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</si>
  <si>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</si>
  <si>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</si>
  <si>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</si>
  <si>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</si>
  <si>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</si>
  <si>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</si>
  <si>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</si>
  <si>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</si>
  <si>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</si>
  <si>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</si>
  <si>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</si>
  <si>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</si>
  <si>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</si>
  <si>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</si>
  <si>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</si>
  <si>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</si>
  <si>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</si>
  <si>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</si>
  <si>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</si>
  <si>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</si>
  <si>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</si>
  <si>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</si>
  <si>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</si>
  <si>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</si>
  <si>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</si>
  <si>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</si>
  <si>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</si>
  <si>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</si>
  <si>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</si>
  <si>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</si>
  <si>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</si>
  <si>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</si>
  <si>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</si>
  <si>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</si>
  <si>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</si>
  <si>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</si>
  <si>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</si>
  <si>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</si>
  <si>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</si>
  <si>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</si>
  <si>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</si>
  <si>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</si>
  <si>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</si>
  <si>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</si>
  <si>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</si>
  <si>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 xml:space="preserve">  </t>
  </si>
  <si>
    <t>MONTH</t>
  </si>
  <si>
    <t>country code</t>
  </si>
  <si>
    <t>PRODUCT BRAND</t>
  </si>
  <si>
    <t>MANUFACTURING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</si>
</sst>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 [$₹-4009]\ * #,##0.00_ ;_ [$₹-4009]\ * \-#,##0.00_ ;_ [$₹-4009]\ * &quot;-&quot;??_ ;_ @_ "/>
  </numFmts>
  <fonts count="7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  <font>
      <b/>
      <sz val="10"/>
      <color theme="1"/>
      <name val="Arial"/>
      <family val="2"/>
    </font>
    <font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0" xfId="0" applyFont="1" applyFill="1"/>
    <xf numFmtId="0" fontId="3" fillId="0" borderId="0" xfId="0" applyFont="1"/>
    <xf numFmtId="0" fontId="4" fillId="0" borderId="0" xfId="0" applyFont="1"/>
    <xf numFmtId="49" fontId="2" fillId="0" borderId="0" xfId="0" applyNumberFormat="1" applyFont="1"/>
    <xf numFmtId="49" fontId="2" fillId="3" borderId="0" xfId="0" applyNumberFormat="1" applyFont="1" applyFill="1"/>
    <xf numFmtId="14" fontId="0" fillId="0" borderId="0" xfId="0" applyNumberFormat="1"/>
    <xf numFmtId="49" fontId="5" fillId="2" borderId="0" xfId="0" applyNumberFormat="1" applyFont="1" applyFill="1" applyAlignment="1">
      <alignment horizontal="center"/>
    </xf>
    <xf numFmtId="0" fontId="0" fillId="4" borderId="0" xfId="0" applyFill="1"/>
    <xf numFmtId="164" fontId="1" fillId="2" borderId="0" xfId="0" applyNumberFormat="1" applyFont="1" applyFill="1" applyAlignment="1">
      <alignment horizontal="center"/>
    </xf>
    <xf numFmtId="164" fontId="2" fillId="0" borderId="0" xfId="0" applyNumberFormat="1" applyFont="1"/>
    <xf numFmtId="164" fontId="2" fillId="3" borderId="0" xfId="0" applyNumberFormat="1" applyFont="1" applyFill="1"/>
    <xf numFmtId="164" fontId="0" fillId="0" borderId="0" xfId="0" applyNumberFormat="1"/>
    <xf numFmtId="15" fontId="0" fillId="0" borderId="0" xfId="0" applyNumberFormat="1"/>
    <xf numFmtId="15" fontId="6" fillId="4" borderId="0" xfId="0" applyNumberFormat="1" applyFont="1" applyFill="1"/>
    <xf numFmtId="2" fontId="2" fillId="3" borderId="0" xfId="0" applyNumberFormat="1" applyFont="1" applyFill="1"/>
  </cellXfs>
  <cellStyles count="1">
    <cellStyle name="Normal" xfId="0" builtinId="0"/>
  </cellStyles>
  <dxfs count="18">
    <dxf>
      <font>
        <b/>
        <i val="0"/>
        <color theme="5" tint="-0.24994659260841701"/>
      </font>
      <fill>
        <patternFill>
          <bgColor theme="4" tint="0.79998168889431442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  <tableStyle name="PivotStylePreset2_Accent1" table="0" count="10" xr9:uid="{267968C8-6FFD-4C36-ACC1-9EA1FD1885CA}">
      <tableStyleElement type="headerRow" dxfId="10"/>
      <tableStyleElement type="totalRow" dxfId="9"/>
      <tableStyleElement type="firstRowStripe" dxfId="8"/>
      <tableStyleElement type="firstColumnStripe" dxfId="7"/>
      <tableStyleElement type="firstSubtotalRow" dxfId="6"/>
      <tableStyleElement type="secondSubtotalRow" dxfId="5"/>
      <tableStyleElement type="firstRowSubheading" dxfId="4"/>
      <tableStyleElement type="secondRowSubheading" dxfId="3"/>
      <tableStyleElement type="pageFieldLabels" dxfId="2"/>
      <tableStyleElement type="pageFieldValues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1000"/>
  <sheetViews>
    <sheetView tabSelected="1" workbookViewId="0">
      <selection activeCell="L15" sqref="L15"/>
    </sheetView>
  </sheetViews>
  <sheetFormatPr defaultColWidth="12.5703125" defaultRowHeight="15" customHeight="1"/>
  <cols>
    <col min="2" max="2" width="19.85546875" style="15" customWidth="1"/>
    <col min="4" max="4" width="20.28515625" customWidth="1"/>
    <col min="5" max="5" width="19.5703125" customWidth="1"/>
    <col min="6" max="6" width="24.85546875" customWidth="1"/>
    <col min="7" max="7" width="16.28515625" customWidth="1"/>
    <col min="8" max="8" width="12.5703125" style="14" customWidth="1"/>
    <col min="9" max="10" width="12.5703125" customWidth="1"/>
  </cols>
  <sheetData>
    <row r="1" spans="1:23" ht="15.75" customHeight="1">
      <c r="A1" s="10" t="s">
        <v>96</v>
      </c>
      <c r="B1" s="16" t="s">
        <v>99</v>
      </c>
      <c r="C1" s="10" t="s">
        <v>97</v>
      </c>
      <c r="D1" s="9" t="s">
        <v>0</v>
      </c>
      <c r="E1" s="1" t="s">
        <v>1</v>
      </c>
      <c r="F1" s="1" t="s">
        <v>98</v>
      </c>
      <c r="G1" s="1" t="s">
        <v>2</v>
      </c>
      <c r="H1" s="11" t="s">
        <v>3</v>
      </c>
      <c r="I1" s="1" t="s">
        <v>4</v>
      </c>
      <c r="J1" s="1" t="s">
        <v>5</v>
      </c>
    </row>
    <row r="2" spans="1:23" ht="15.75" customHeight="1">
      <c r="A2" t="str">
        <f>MID(D2,4,6)</f>
        <v>MAY-US</v>
      </c>
      <c r="B2" s="15">
        <v>22</v>
      </c>
      <c r="C2" t="str">
        <f>RIGHT(D2,2)</f>
        <v>US</v>
      </c>
      <c r="D2" s="6" t="s">
        <v>20</v>
      </c>
      <c r="E2" s="2" t="s">
        <v>21</v>
      </c>
      <c r="F2" s="2" t="str">
        <f>_xlfn.CONCAT(E2,,G2)</f>
        <v>BackpackNorth Face</v>
      </c>
      <c r="G2" s="2" t="s">
        <v>22</v>
      </c>
      <c r="H2" s="12">
        <v>70</v>
      </c>
      <c r="I2" s="2">
        <v>20</v>
      </c>
      <c r="J2" s="2" t="s">
        <v>54</v>
      </c>
    </row>
    <row r="3" spans="1:23" ht="15.75" customHeight="1">
      <c r="A3" t="str">
        <f t="shared" ref="A3:A32" si="0">MID(D3,4,6)</f>
        <v>JUL-CA</v>
      </c>
      <c r="B3" s="15">
        <v>23</v>
      </c>
      <c r="C3" t="str">
        <f t="shared" ref="C3:C32" si="1">RIGHT(D3,2)</f>
        <v>CA</v>
      </c>
      <c r="D3" s="6" t="s">
        <v>79</v>
      </c>
      <c r="E3" s="2" t="s">
        <v>30</v>
      </c>
      <c r="F3" s="2" t="str">
        <f t="shared" ref="F3:F32" si="2">_xlfn.CONCAT(E3,,G3)</f>
        <v>BlenderVitamix</v>
      </c>
      <c r="G3" s="2" t="s">
        <v>80</v>
      </c>
      <c r="H3" s="12">
        <v>400</v>
      </c>
      <c r="I3" s="2">
        <v>40</v>
      </c>
      <c r="J3" s="2" t="s">
        <v>16</v>
      </c>
      <c r="P3" s="4"/>
      <c r="Q3" s="2"/>
      <c r="R3" s="2"/>
      <c r="S3" s="2"/>
      <c r="T3" s="2"/>
      <c r="U3" s="2"/>
      <c r="V3" s="2"/>
      <c r="W3" s="2"/>
    </row>
    <row r="4" spans="1:23" ht="15.75" customHeight="1">
      <c r="A4" t="str">
        <f t="shared" si="0"/>
        <v>AUG-UK</v>
      </c>
      <c r="B4" s="15">
        <v>24</v>
      </c>
      <c r="C4" t="str">
        <f t="shared" si="1"/>
        <v>UK</v>
      </c>
      <c r="D4" s="7" t="s">
        <v>29</v>
      </c>
      <c r="E4" s="3" t="s">
        <v>30</v>
      </c>
      <c r="F4" s="2" t="str">
        <f t="shared" si="2"/>
        <v>BlenderNinja</v>
      </c>
      <c r="G4" s="3" t="s">
        <v>31</v>
      </c>
      <c r="H4" s="13">
        <v>90</v>
      </c>
      <c r="I4" s="3">
        <v>35</v>
      </c>
      <c r="J4" s="3" t="s">
        <v>16</v>
      </c>
      <c r="P4" s="2"/>
      <c r="Q4" s="5"/>
      <c r="R4" s="2"/>
      <c r="S4" s="2"/>
      <c r="T4" s="2"/>
      <c r="U4" s="2"/>
      <c r="V4" s="2"/>
      <c r="W4" s="2"/>
    </row>
    <row r="5" spans="1:23" ht="15.75" customHeight="1">
      <c r="A5" t="str">
        <f t="shared" si="0"/>
        <v>MAY-RU</v>
      </c>
      <c r="B5" s="15">
        <v>25</v>
      </c>
      <c r="C5" t="str">
        <f t="shared" si="1"/>
        <v>RU</v>
      </c>
      <c r="D5" s="6" t="s">
        <v>65</v>
      </c>
      <c r="E5" s="2" t="s">
        <v>66</v>
      </c>
      <c r="F5" s="2" t="str">
        <f t="shared" si="2"/>
        <v>CameraNikon</v>
      </c>
      <c r="G5" s="2" t="s">
        <v>67</v>
      </c>
      <c r="H5" s="12">
        <v>700</v>
      </c>
      <c r="I5" s="2">
        <v>50</v>
      </c>
      <c r="J5" s="2" t="s">
        <v>8</v>
      </c>
      <c r="P5" s="2"/>
      <c r="Q5" s="5"/>
      <c r="R5" s="2"/>
      <c r="S5" s="2"/>
      <c r="T5" s="2"/>
      <c r="U5" s="2"/>
      <c r="V5" s="2"/>
      <c r="W5" s="2"/>
    </row>
    <row r="6" spans="1:23" ht="15.75" customHeight="1">
      <c r="A6" t="str">
        <f t="shared" si="0"/>
        <v>AUG-US</v>
      </c>
      <c r="B6" s="15">
        <v>26</v>
      </c>
      <c r="C6" t="str">
        <f t="shared" si="1"/>
        <v>US</v>
      </c>
      <c r="D6" s="7" t="s">
        <v>62</v>
      </c>
      <c r="E6" s="3" t="s">
        <v>63</v>
      </c>
      <c r="F6" s="2" t="str">
        <f t="shared" si="2"/>
        <v>Camping TentColeman</v>
      </c>
      <c r="G6" s="3" t="s">
        <v>64</v>
      </c>
      <c r="H6" s="17"/>
      <c r="I6" s="3">
        <v>10</v>
      </c>
      <c r="J6" s="3" t="s">
        <v>38</v>
      </c>
      <c r="P6" s="8"/>
    </row>
    <row r="7" spans="1:23" ht="15.75" customHeight="1">
      <c r="A7" t="str">
        <f t="shared" si="0"/>
        <v>MAR-US</v>
      </c>
      <c r="B7" s="15">
        <v>27</v>
      </c>
      <c r="C7" t="str">
        <f t="shared" si="1"/>
        <v>US</v>
      </c>
      <c r="D7" s="6" t="s">
        <v>13</v>
      </c>
      <c r="E7" s="2" t="s">
        <v>14</v>
      </c>
      <c r="F7" s="2" t="str">
        <f t="shared" si="2"/>
        <v>Coffee MakerKeurig</v>
      </c>
      <c r="G7" s="2" t="s">
        <v>15</v>
      </c>
      <c r="H7" s="12">
        <v>130</v>
      </c>
      <c r="I7" s="2">
        <v>40</v>
      </c>
      <c r="J7" s="2" t="s">
        <v>16</v>
      </c>
    </row>
    <row r="8" spans="1:23" ht="15.75" customHeight="1">
      <c r="A8" t="str">
        <f t="shared" si="0"/>
        <v>DEC-DE</v>
      </c>
      <c r="B8" s="15">
        <v>28</v>
      </c>
      <c r="C8" t="str">
        <f t="shared" si="1"/>
        <v>DE</v>
      </c>
      <c r="D8" s="6" t="s">
        <v>43</v>
      </c>
      <c r="E8" s="2" t="s">
        <v>14</v>
      </c>
      <c r="F8" s="2" t="str">
        <f t="shared" si="2"/>
        <v>Coffee MakerNespresso</v>
      </c>
      <c r="G8" s="2" t="s">
        <v>44</v>
      </c>
      <c r="H8" s="12">
        <v>120</v>
      </c>
      <c r="I8" s="2">
        <v>35</v>
      </c>
      <c r="J8" s="2" t="s">
        <v>8</v>
      </c>
    </row>
    <row r="9" spans="1:23" ht="15.75" customHeight="1">
      <c r="A9" t="str">
        <f t="shared" si="0"/>
        <v>MAR-CA</v>
      </c>
      <c r="B9" s="15">
        <v>29</v>
      </c>
      <c r="C9" t="str">
        <f t="shared" si="1"/>
        <v>CA</v>
      </c>
      <c r="D9" s="6" t="s">
        <v>81</v>
      </c>
      <c r="E9" s="2" t="s">
        <v>82</v>
      </c>
      <c r="F9" s="2" t="str">
        <f t="shared" si="2"/>
        <v>DressZara</v>
      </c>
      <c r="G9" s="2" t="s">
        <v>83</v>
      </c>
      <c r="H9" s="12">
        <v>60</v>
      </c>
      <c r="I9" s="2">
        <v>30</v>
      </c>
      <c r="J9" s="2" t="s">
        <v>12</v>
      </c>
    </row>
    <row r="10" spans="1:23" ht="15.75" customHeight="1">
      <c r="A10" t="str">
        <f t="shared" si="0"/>
        <v>JUL-BR</v>
      </c>
      <c r="B10" s="15">
        <v>30</v>
      </c>
      <c r="C10" t="str">
        <f t="shared" si="1"/>
        <v>BR</v>
      </c>
      <c r="D10" s="6" t="s">
        <v>71</v>
      </c>
      <c r="E10" s="2" t="s">
        <v>72</v>
      </c>
      <c r="F10" s="2" t="str">
        <f t="shared" si="2"/>
        <v>Fitness TrackerXiaomi</v>
      </c>
      <c r="G10" s="2" t="s">
        <v>73</v>
      </c>
      <c r="H10" s="12">
        <v>150</v>
      </c>
      <c r="I10" s="2">
        <v>30</v>
      </c>
      <c r="J10" s="2" t="s">
        <v>8</v>
      </c>
    </row>
    <row r="11" spans="1:23" ht="15.75" customHeight="1">
      <c r="A11" t="str">
        <f t="shared" si="0"/>
        <v>MAY-CA</v>
      </c>
      <c r="B11" s="15">
        <v>31</v>
      </c>
      <c r="C11" t="str">
        <f t="shared" si="1"/>
        <v>CA</v>
      </c>
      <c r="D11" s="6" t="s">
        <v>87</v>
      </c>
      <c r="E11" s="2" t="s">
        <v>72</v>
      </c>
      <c r="F11" s="2" t="str">
        <f t="shared" si="2"/>
        <v>Fitness TrackerGarmin</v>
      </c>
      <c r="G11" s="2" t="s">
        <v>88</v>
      </c>
      <c r="H11" s="12">
        <v>130</v>
      </c>
      <c r="I11" s="2">
        <v>5</v>
      </c>
      <c r="J11" s="2" t="s">
        <v>8</v>
      </c>
    </row>
    <row r="12" spans="1:23" ht="15.75" customHeight="1">
      <c r="A12" t="str">
        <f t="shared" si="0"/>
        <v>JUN-UK</v>
      </c>
      <c r="B12" s="15">
        <v>32</v>
      </c>
      <c r="C12" t="str">
        <f t="shared" si="1"/>
        <v>UK</v>
      </c>
      <c r="D12" s="7" t="s">
        <v>23</v>
      </c>
      <c r="E12" s="3" t="s">
        <v>24</v>
      </c>
      <c r="F12" s="2" t="str">
        <f t="shared" si="2"/>
        <v>HeadphonesSony</v>
      </c>
      <c r="G12" s="3" t="s">
        <v>25</v>
      </c>
      <c r="H12" s="13"/>
      <c r="I12" s="3">
        <v>45</v>
      </c>
      <c r="J12" s="3" t="s">
        <v>8</v>
      </c>
    </row>
    <row r="13" spans="1:23" ht="15.75" customHeight="1">
      <c r="A13" t="str">
        <f t="shared" si="0"/>
        <v>APR-ES</v>
      </c>
      <c r="B13" s="15">
        <v>33</v>
      </c>
      <c r="C13" t="str">
        <f t="shared" si="1"/>
        <v>ES</v>
      </c>
      <c r="D13" s="6" t="s">
        <v>48</v>
      </c>
      <c r="E13" s="2" t="s">
        <v>49</v>
      </c>
      <c r="F13" s="2" t="str">
        <f t="shared" si="2"/>
        <v>headphonesBose</v>
      </c>
      <c r="G13" s="2" t="s">
        <v>50</v>
      </c>
      <c r="H13" s="12">
        <v>250</v>
      </c>
      <c r="I13" s="2">
        <v>20</v>
      </c>
      <c r="J13" s="2" t="s">
        <v>8</v>
      </c>
    </row>
    <row r="14" spans="1:23" ht="15.75" customHeight="1">
      <c r="A14" t="str">
        <f t="shared" si="0"/>
        <v>OCT-UK</v>
      </c>
      <c r="B14" s="15">
        <v>34</v>
      </c>
      <c r="C14" t="str">
        <f t="shared" si="1"/>
        <v>UK</v>
      </c>
      <c r="D14" s="7" t="s">
        <v>35</v>
      </c>
      <c r="E14" s="3" t="s">
        <v>36</v>
      </c>
      <c r="F14" s="2" t="str">
        <f t="shared" si="2"/>
        <v>Hiking BootsTimberland</v>
      </c>
      <c r="G14" s="3" t="s">
        <v>37</v>
      </c>
      <c r="H14" s="13">
        <v>130</v>
      </c>
      <c r="I14" s="3">
        <v>10</v>
      </c>
      <c r="J14" s="3" t="s">
        <v>38</v>
      </c>
    </row>
    <row r="15" spans="1:23" ht="15.75" customHeight="1">
      <c r="A15" t="str">
        <f t="shared" si="0"/>
        <v>DEC-CA</v>
      </c>
      <c r="B15" s="15">
        <v>35</v>
      </c>
      <c r="C15" t="str">
        <f t="shared" si="1"/>
        <v>CA</v>
      </c>
      <c r="D15" s="7" t="s">
        <v>89</v>
      </c>
      <c r="E15" s="3" t="s">
        <v>90</v>
      </c>
      <c r="F15" s="2" t="str">
        <f t="shared" si="2"/>
        <v>JeansLevi's</v>
      </c>
      <c r="G15" s="3" t="s">
        <v>91</v>
      </c>
      <c r="H15" s="13">
        <v>50</v>
      </c>
      <c r="I15" s="3">
        <v>50</v>
      </c>
      <c r="J15" s="3" t="s">
        <v>12</v>
      </c>
    </row>
    <row r="16" spans="1:23" ht="15.75" customHeight="1">
      <c r="A16" t="str">
        <f t="shared" si="0"/>
        <v>JUN-IN</v>
      </c>
      <c r="B16" s="15">
        <v>36</v>
      </c>
      <c r="C16" t="str">
        <f t="shared" si="1"/>
        <v>IN</v>
      </c>
      <c r="D16" s="6" t="s">
        <v>39</v>
      </c>
      <c r="E16" s="2" t="s">
        <v>40</v>
      </c>
      <c r="F16" s="2" t="str">
        <f t="shared" si="2"/>
        <v>LaptopHP</v>
      </c>
      <c r="G16" s="2" t="s">
        <v>41</v>
      </c>
      <c r="H16" s="12">
        <v>950</v>
      </c>
      <c r="I16" s="2">
        <v>25</v>
      </c>
      <c r="J16" s="2" t="s">
        <v>8</v>
      </c>
    </row>
    <row r="17" spans="1:12" ht="15.75" customHeight="1">
      <c r="A17" t="str">
        <f t="shared" si="0"/>
        <v>JAN-IT</v>
      </c>
      <c r="B17" s="15">
        <v>37</v>
      </c>
      <c r="C17" t="str">
        <f t="shared" si="1"/>
        <v>IT</v>
      </c>
      <c r="D17" s="7" t="s">
        <v>57</v>
      </c>
      <c r="E17" s="3" t="s">
        <v>40</v>
      </c>
      <c r="F17" s="2" t="str">
        <f t="shared" si="2"/>
        <v>LaptopAsus</v>
      </c>
      <c r="G17" s="3" t="s">
        <v>58</v>
      </c>
      <c r="H17" s="13">
        <v>980</v>
      </c>
      <c r="I17" s="3">
        <v>10</v>
      </c>
      <c r="J17" s="3" t="s">
        <v>8</v>
      </c>
    </row>
    <row r="18" spans="1:12" ht="15.75" customHeight="1">
      <c r="A18" t="str">
        <f t="shared" si="0"/>
        <v>JAN-US</v>
      </c>
      <c r="B18" s="15">
        <v>38</v>
      </c>
      <c r="C18" t="str">
        <f t="shared" si="1"/>
        <v>US</v>
      </c>
      <c r="D18" s="6" t="s">
        <v>6</v>
      </c>
      <c r="E18" s="2" t="s">
        <v>40</v>
      </c>
      <c r="F18" s="2" t="str">
        <f t="shared" si="2"/>
        <v>LaptopDell</v>
      </c>
      <c r="G18" s="2" t="s">
        <v>7</v>
      </c>
      <c r="H18" s="12">
        <v>1000</v>
      </c>
      <c r="I18" s="2">
        <v>30</v>
      </c>
      <c r="J18" s="2" t="s">
        <v>8</v>
      </c>
    </row>
    <row r="19" spans="1:12" ht="15.75" customHeight="1">
      <c r="A19" t="str">
        <f t="shared" si="0"/>
        <v>AUG-CA</v>
      </c>
      <c r="B19" s="15">
        <v>39</v>
      </c>
      <c r="C19" t="str">
        <f t="shared" si="1"/>
        <v>CA</v>
      </c>
      <c r="D19" s="7" t="s">
        <v>51</v>
      </c>
      <c r="E19" s="3" t="s">
        <v>52</v>
      </c>
      <c r="F19" s="2" t="str">
        <f t="shared" si="2"/>
        <v>Laptop BagSamsonite</v>
      </c>
      <c r="G19" s="3" t="s">
        <v>53</v>
      </c>
      <c r="H19" s="13">
        <v>50</v>
      </c>
      <c r="I19" s="3">
        <v>35</v>
      </c>
      <c r="J19" s="3" t="s">
        <v>54</v>
      </c>
    </row>
    <row r="20" spans="1:12" ht="15.75" customHeight="1">
      <c r="A20" t="str">
        <f t="shared" si="0"/>
        <v>JAN-CA</v>
      </c>
      <c r="B20" s="15">
        <v>40</v>
      </c>
      <c r="C20" t="str">
        <f t="shared" si="1"/>
        <v>CA</v>
      </c>
      <c r="D20" s="7" t="s">
        <v>68</v>
      </c>
      <c r="E20" s="3" t="s">
        <v>69</v>
      </c>
      <c r="F20" s="2" t="str">
        <f t="shared" si="2"/>
        <v>MicrowavePanasonic</v>
      </c>
      <c r="G20" s="3" t="s">
        <v>70</v>
      </c>
      <c r="H20" s="13">
        <v>80</v>
      </c>
      <c r="I20" s="3">
        <v>20</v>
      </c>
      <c r="J20" s="3" t="s">
        <v>16</v>
      </c>
    </row>
    <row r="21" spans="1:12" ht="15.75" customHeight="1">
      <c r="A21" t="str">
        <f t="shared" si="0"/>
        <v>APR-US</v>
      </c>
      <c r="B21" s="15">
        <v>41</v>
      </c>
      <c r="C21" t="str">
        <f t="shared" si="1"/>
        <v>US</v>
      </c>
      <c r="D21" s="7" t="s">
        <v>17</v>
      </c>
      <c r="E21" s="3" t="s">
        <v>18</v>
      </c>
      <c r="F21" s="2" t="str">
        <f t="shared" si="2"/>
        <v>smartphoneSamsung</v>
      </c>
      <c r="G21" s="3" t="s">
        <v>19</v>
      </c>
      <c r="H21" s="13">
        <v>900</v>
      </c>
      <c r="I21" s="3">
        <v>25</v>
      </c>
      <c r="J21" s="3" t="s">
        <v>8</v>
      </c>
    </row>
    <row r="22" spans="1:12" ht="15.75" customHeight="1">
      <c r="A22" t="str">
        <f t="shared" si="0"/>
        <v>SEP-CA</v>
      </c>
      <c r="B22" s="15">
        <v>42</v>
      </c>
      <c r="C22" t="str">
        <f t="shared" si="1"/>
        <v>CA</v>
      </c>
      <c r="D22" s="6" t="s">
        <v>74</v>
      </c>
      <c r="E22" s="2" t="s">
        <v>75</v>
      </c>
      <c r="F22" s="2" t="str">
        <f t="shared" si="2"/>
        <v>SmartphoneGoogle</v>
      </c>
      <c r="G22" s="2" t="s">
        <v>76</v>
      </c>
      <c r="H22" s="12">
        <v>800</v>
      </c>
      <c r="I22" s="2">
        <v>45</v>
      </c>
      <c r="J22" s="2" t="s">
        <v>8</v>
      </c>
    </row>
    <row r="23" spans="1:12" ht="15.75" customHeight="1">
      <c r="A23" t="str">
        <f t="shared" si="0"/>
        <v>FEB-CA</v>
      </c>
      <c r="B23" s="15">
        <v>43</v>
      </c>
      <c r="C23" t="str">
        <f t="shared" si="1"/>
        <v>CA</v>
      </c>
      <c r="D23" s="7" t="s">
        <v>45</v>
      </c>
      <c r="E23" s="3" t="s">
        <v>46</v>
      </c>
      <c r="F23" s="2" t="str">
        <f t="shared" si="2"/>
        <v>SmartwatchFitbit</v>
      </c>
      <c r="G23" s="3" t="s">
        <v>47</v>
      </c>
      <c r="H23" s="13">
        <v>150</v>
      </c>
      <c r="I23" s="3">
        <v>15</v>
      </c>
      <c r="J23" s="3" t="s">
        <v>8</v>
      </c>
      <c r="L23" t="s">
        <v>95</v>
      </c>
    </row>
    <row r="24" spans="1:12" ht="15.75" customHeight="1">
      <c r="A24" t="str">
        <f t="shared" si="0"/>
        <v>AUG-CN</v>
      </c>
      <c r="B24" s="15">
        <v>44</v>
      </c>
      <c r="C24" t="str">
        <f t="shared" si="1"/>
        <v>CN</v>
      </c>
      <c r="D24" s="6" t="s">
        <v>55</v>
      </c>
      <c r="E24" s="2" t="s">
        <v>46</v>
      </c>
      <c r="F24" s="2" t="str">
        <f t="shared" si="2"/>
        <v>SmartwatchHuawei</v>
      </c>
      <c r="G24" s="2" t="s">
        <v>56</v>
      </c>
      <c r="H24" s="12">
        <v>160</v>
      </c>
      <c r="I24" s="2">
        <v>15</v>
      </c>
      <c r="J24" s="2" t="s">
        <v>8</v>
      </c>
    </row>
    <row r="25" spans="1:12" ht="15.75" customHeight="1">
      <c r="A25" t="str">
        <f t="shared" si="0"/>
        <v>FEB-US</v>
      </c>
      <c r="B25" s="15">
        <v>45</v>
      </c>
      <c r="C25" t="str">
        <f t="shared" si="1"/>
        <v>US</v>
      </c>
      <c r="D25" s="7" t="s">
        <v>9</v>
      </c>
      <c r="E25" s="3" t="s">
        <v>10</v>
      </c>
      <c r="F25" s="2" t="str">
        <f t="shared" si="2"/>
        <v>SneakersNike</v>
      </c>
      <c r="G25" s="3" t="s">
        <v>11</v>
      </c>
      <c r="H25" s="13">
        <v>80</v>
      </c>
      <c r="I25" s="3">
        <v>15</v>
      </c>
      <c r="J25" s="3" t="s">
        <v>12</v>
      </c>
    </row>
    <row r="26" spans="1:12" ht="15.75" customHeight="1">
      <c r="A26" t="str">
        <f t="shared" si="0"/>
        <v>NOV-AU</v>
      </c>
      <c r="B26" s="15">
        <v>46</v>
      </c>
      <c r="C26" t="str">
        <f t="shared" si="1"/>
        <v>AU</v>
      </c>
      <c r="D26" s="7" t="s">
        <v>42</v>
      </c>
      <c r="E26" s="3" t="s">
        <v>10</v>
      </c>
      <c r="F26" s="2" t="str">
        <f t="shared" si="2"/>
        <v>SneakersAdidas</v>
      </c>
      <c r="G26" s="3" t="s">
        <v>28</v>
      </c>
      <c r="H26" s="13">
        <v>90</v>
      </c>
      <c r="I26" s="3">
        <v>40</v>
      </c>
      <c r="J26" s="3" t="s">
        <v>12</v>
      </c>
    </row>
    <row r="27" spans="1:12" ht="15.75" customHeight="1">
      <c r="A27" t="str">
        <f t="shared" si="0"/>
        <v>MAR-UK</v>
      </c>
      <c r="B27" s="15">
        <v>47</v>
      </c>
      <c r="C27" t="str">
        <f t="shared" si="1"/>
        <v>UK</v>
      </c>
      <c r="D27" s="6" t="s">
        <v>59</v>
      </c>
      <c r="E27" s="2" t="s">
        <v>60</v>
      </c>
      <c r="F27" s="2" t="str">
        <f t="shared" si="2"/>
        <v>SunglassesOakley</v>
      </c>
      <c r="G27" s="2" t="s">
        <v>61</v>
      </c>
      <c r="H27" s="12">
        <v>150</v>
      </c>
      <c r="I27" s="2">
        <v>15</v>
      </c>
      <c r="J27" s="2" t="s">
        <v>12</v>
      </c>
    </row>
    <row r="28" spans="1:12" ht="15.75" customHeight="1">
      <c r="A28" t="str">
        <f t="shared" si="0"/>
        <v>JUN-CA</v>
      </c>
      <c r="B28" s="15">
        <v>48</v>
      </c>
      <c r="C28" t="str">
        <f t="shared" si="1"/>
        <v>CA</v>
      </c>
      <c r="D28" s="7" t="s">
        <v>77</v>
      </c>
      <c r="E28" s="3" t="s">
        <v>60</v>
      </c>
      <c r="F28" s="2" t="str">
        <f t="shared" si="2"/>
        <v>SunglassesRay-Ban</v>
      </c>
      <c r="G28" s="3" t="s">
        <v>78</v>
      </c>
      <c r="H28" s="13"/>
      <c r="I28" s="3">
        <v>25</v>
      </c>
      <c r="J28" s="3" t="s">
        <v>12</v>
      </c>
    </row>
    <row r="29" spans="1:12" ht="15.75" customHeight="1">
      <c r="A29" t="str">
        <f t="shared" si="0"/>
        <v>SEP-UK</v>
      </c>
      <c r="B29" s="15">
        <v>49</v>
      </c>
      <c r="C29" t="str">
        <f t="shared" si="1"/>
        <v>UK</v>
      </c>
      <c r="D29" s="6" t="s">
        <v>32</v>
      </c>
      <c r="E29" s="2" t="s">
        <v>33</v>
      </c>
      <c r="F29" s="2" t="str">
        <f t="shared" si="2"/>
        <v>TabletApple</v>
      </c>
      <c r="G29" s="2" t="s">
        <v>34</v>
      </c>
      <c r="H29" s="12">
        <v>500</v>
      </c>
      <c r="I29" s="2">
        <v>50</v>
      </c>
      <c r="J29" s="2" t="s">
        <v>8</v>
      </c>
    </row>
    <row r="30" spans="1:12" ht="15.75" customHeight="1">
      <c r="A30" t="str">
        <f t="shared" si="0"/>
        <v>APR-CA</v>
      </c>
      <c r="B30" s="15">
        <v>50</v>
      </c>
      <c r="C30" t="str">
        <f t="shared" si="1"/>
        <v>CA</v>
      </c>
      <c r="D30" s="7" t="s">
        <v>84</v>
      </c>
      <c r="E30" s="3" t="s">
        <v>85</v>
      </c>
      <c r="F30" s="2" t="str">
        <f t="shared" si="2"/>
        <v>ToasterHamilton</v>
      </c>
      <c r="G30" s="3" t="s">
        <v>86</v>
      </c>
      <c r="H30" s="13">
        <v>40</v>
      </c>
      <c r="I30" s="3">
        <v>10</v>
      </c>
      <c r="J30" s="3" t="s">
        <v>16</v>
      </c>
    </row>
    <row r="31" spans="1:12" ht="15.75" customHeight="1">
      <c r="A31" t="str">
        <f t="shared" si="0"/>
        <v>JUL-UK</v>
      </c>
      <c r="B31" s="15">
        <v>51</v>
      </c>
      <c r="C31" t="str">
        <f t="shared" si="1"/>
        <v>UK</v>
      </c>
      <c r="D31" s="6" t="s">
        <v>26</v>
      </c>
      <c r="E31" s="2" t="s">
        <v>27</v>
      </c>
      <c r="F31" s="2" t="str">
        <f t="shared" si="2"/>
        <v>T-shirtAdidas</v>
      </c>
      <c r="G31" s="2" t="s">
        <v>28</v>
      </c>
      <c r="H31" s="12">
        <v>30</v>
      </c>
      <c r="I31" s="2">
        <v>5</v>
      </c>
      <c r="J31" s="2" t="s">
        <v>12</v>
      </c>
    </row>
    <row r="32" spans="1:12" ht="15.75" customHeight="1">
      <c r="A32" t="str">
        <f t="shared" si="0"/>
        <v>JUL-FR</v>
      </c>
      <c r="B32" s="15">
        <v>52</v>
      </c>
      <c r="C32" t="str">
        <f t="shared" si="1"/>
        <v>FR</v>
      </c>
      <c r="D32" s="7" t="s">
        <v>92</v>
      </c>
      <c r="E32" s="3" t="s">
        <v>93</v>
      </c>
      <c r="F32" s="2" t="str">
        <f t="shared" si="2"/>
        <v>WatchCasio</v>
      </c>
      <c r="G32" s="3" t="s">
        <v>94</v>
      </c>
      <c r="H32" s="13">
        <v>100</v>
      </c>
      <c r="I32" s="3">
        <v>20</v>
      </c>
      <c r="J32" s="3" t="s">
        <v>54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J32" xr:uid="{00000000-0001-0000-0000-000000000000}"/>
  <sortState xmlns:xlrd2="http://schemas.microsoft.com/office/spreadsheetml/2017/richdata2" ref="D3:D32">
    <sortCondition ref="D2:D32" customList="Jan,Feb,Mar,Apr,May,Jun,Jul,Aug,Sep,Oct,Nov,Dec"/>
  </sortState>
  <conditionalFormatting sqref="H1:H104857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{D600689E-77EE-4755-9125-C16A818A6F40}</x14:id>
        </ext>
      </extLst>
    </cfRule>
  </conditionalFormatting>
  <conditionalFormatting sqref="J1:J1048576">
    <cfRule type="containsText" dxfId="0" priority="1" operator="containsText" text="ELECTRONICS">
      <formula>NOT(ISERROR(SEARCH("ELECTRONICS",J1)))</formula>
    </cfRule>
  </conditionalFormatting>
  <pageMargins left="0.75" right="0.75" top="1" bottom="1" header="0.5" footer="0.5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600689E-77EE-4755-9125-C16A818A6F4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H1:H1048576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cp:lastPrinted>2026-09-26T18:23:30Z</cp:lastPrinted>
  <dcterms:created xsi:type="dcterms:W3CDTF">2026-07-23T14:43:37Z</dcterms:created>
  <dcterms:modified xsi:type="dcterms:W3CDTF">2026-09-28T19:34:42Z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8359FE2C7BAF4D28ADCFE4336C4EBA81_12</vt:lpwstr>
  </property>
  <property fmtid="{D5CDD505-2E9C-101B-9397-08002B2CF9AE}" pid="3" name="KSOProductBuildVer">
    <vt:lpwstr>2057-12.2.0.23206</vt:lpwstr>
  </property>
</Properties>
</file>